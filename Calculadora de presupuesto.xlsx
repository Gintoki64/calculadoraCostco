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4"/>
    <sheet state="visible" name="Lista de precios" sheetId="2" r:id="rId5"/>
  </sheets>
  <definedNames/>
  <calcPr/>
  <extLst>
    <ext uri="GoogleSheetsCustomDataVersion2">
      <go:sheetsCustomData xmlns:go="http://customooxmlschemas.google.com/" r:id="rId6" roundtripDataChecksum="VuEwI3uOLVBA/Y4LEBjPesG239sNjG/wGIhnERF5QMU="/>
    </ext>
  </extLst>
</workbook>
</file>

<file path=xl/sharedStrings.xml><?xml version="1.0" encoding="utf-8"?>
<sst xmlns="http://schemas.openxmlformats.org/spreadsheetml/2006/main" count="40" uniqueCount="29">
  <si>
    <t>Calculadora de presupuesto para eventos</t>
  </si>
  <si>
    <t>Producto</t>
  </si>
  <si>
    <t>Precio</t>
  </si>
  <si>
    <t>Otros productos</t>
  </si>
  <si>
    <t>Precio sin IVA</t>
  </si>
  <si>
    <t>Croissant</t>
  </si>
  <si>
    <t>Crodots</t>
  </si>
  <si>
    <t>Berlinas</t>
  </si>
  <si>
    <t>Cookies</t>
  </si>
  <si>
    <t>Manzanas rojas</t>
  </si>
  <si>
    <t>Plátanos</t>
  </si>
  <si>
    <t>Tortillas</t>
  </si>
  <si>
    <t>Presupuesto</t>
  </si>
  <si>
    <t>Total</t>
  </si>
  <si>
    <t>IVA</t>
  </si>
  <si>
    <t>Muffins</t>
  </si>
  <si>
    <t>Bizcocho</t>
  </si>
  <si>
    <t>Pan</t>
  </si>
  <si>
    <t>Empanada</t>
  </si>
  <si>
    <t>Manzanas verdes</t>
  </si>
  <si>
    <t>Banana</t>
  </si>
  <si>
    <t>Mandarinas</t>
  </si>
  <si>
    <t>Naranjas</t>
  </si>
  <si>
    <t>Frambuesas</t>
  </si>
  <si>
    <t>Arándanos</t>
  </si>
  <si>
    <t>Trenza</t>
  </si>
  <si>
    <t>Galletas cuadradas</t>
  </si>
  <si>
    <t>Zumo Caribe</t>
  </si>
  <si>
    <t xml:space="preserve">Zumo naranja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</si>
</sst>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/>
    <font>
      <b/>
      <sz val="13.0"/>
      <color theme="1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/>
    </xf>
    <xf borderId="6" fillId="0" fontId="6" numFmtId="164" xfId="0" applyBorder="1" applyFont="1" applyNumberFormat="1"/>
    <xf borderId="0" fillId="0" fontId="1" numFmtId="164" xfId="0" applyAlignment="1" applyFont="1" applyNumberFormat="1">
      <alignment readingOrder="0"/>
    </xf>
    <xf borderId="6" fillId="0" fontId="1" numFmtId="164" xfId="0" applyBorder="1" applyFont="1" applyNumberFormat="1"/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/>
    </xf>
    <xf borderId="0" fillId="0" fontId="1" numFmtId="164" xfId="0" applyFont="1" applyNumberFormat="1"/>
    <xf borderId="5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0" fontId="6" numFmtId="164" xfId="0" applyBorder="1" applyFont="1" applyNumberFormat="1"/>
    <xf borderId="7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9" fillId="0" fontId="9" numFmtId="164" xfId="0" applyAlignment="1" applyBorder="1" applyFont="1" applyNumberFormat="1">
      <alignment readingOrder="0"/>
    </xf>
    <xf borderId="9" fillId="0" fontId="9" numFmtId="164" xfId="0" applyBorder="1" applyFont="1" applyNumberForma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6" numFmtId="165" xfId="0" applyFont="1" applyNumberFormat="1"/>
    <xf borderId="0" fillId="0" fontId="6" numFmtId="9" xfId="0" applyFont="1" applyNumberFormat="1"/>
    <xf borderId="0" fillId="0" fontId="1" numFmtId="165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3" max="3" width="17.88"/>
    <col customWidth="1" min="5" max="5" width="21.25"/>
    <col customWidth="1" min="6" max="6" width="14.5"/>
    <col customWidth="1" min="7" max="7" width="18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1">
      <c r="A2" s="1"/>
      <c r="B2" s="1"/>
      <c r="C2" s="2" t="s">
        <v>0</v>
      </c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5.5" customHeight="1">
      <c r="A5" s="1"/>
      <c r="B5" s="1"/>
      <c r="C5" s="5" t="s">
        <v>1</v>
      </c>
      <c r="D5" s="5" t="s">
        <v>2</v>
      </c>
      <c r="E5" s="5" t="s">
        <v>3</v>
      </c>
      <c r="F5" s="5" t="s">
        <v>2</v>
      </c>
      <c r="G5" s="5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5.75" customHeight="1">
      <c r="A6" s="1"/>
      <c r="B6" s="1"/>
      <c r="C6" s="6" t="s">
        <v>5</v>
      </c>
      <c r="D6" s="7">
        <f>IFERROR(VLOOKUP(C6, 'Lista de precios'!C:F, 4, FALSE), "")</f>
        <v>4.950413223</v>
      </c>
      <c r="E6" s="6"/>
      <c r="F6" s="8"/>
      <c r="G6" s="9">
        <f t="shared" ref="G6:G21" si="1">F6 / (1 + 21%)</f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75" customHeight="1">
      <c r="A7" s="1"/>
      <c r="B7" s="1"/>
      <c r="C7" s="6" t="s">
        <v>6</v>
      </c>
      <c r="D7" s="7">
        <f>IFERROR(VLOOKUP(C7, 'Lista de precios'!C:F, 4, FALSE), "")</f>
        <v>7.429752066</v>
      </c>
      <c r="E7" s="10"/>
      <c r="F7" s="8"/>
      <c r="G7" s="9">
        <f t="shared" si="1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75" customHeight="1">
      <c r="A8" s="1"/>
      <c r="B8" s="1"/>
      <c r="C8" s="6" t="s">
        <v>7</v>
      </c>
      <c r="D8" s="7">
        <f>IFERROR(VLOOKUP(C8, 'Lista de precios'!C:F, 4, FALSE), "")</f>
        <v>6.603305785</v>
      </c>
      <c r="E8" s="11"/>
      <c r="F8" s="12"/>
      <c r="G8" s="9">
        <f t="shared" si="1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5.75" customHeight="1">
      <c r="A9" s="1"/>
      <c r="B9" s="1"/>
      <c r="C9" s="6" t="s">
        <v>8</v>
      </c>
      <c r="D9" s="7">
        <f>IFERROR(VLOOKUP(C9, 'Lista de precios'!C:F, 4, FALSE), "")</f>
        <v>7.429752066</v>
      </c>
      <c r="E9" s="10"/>
      <c r="F9" s="8"/>
      <c r="G9" s="9">
        <f t="shared" si="1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5.75" customHeight="1">
      <c r="A10" s="1"/>
      <c r="B10" s="1"/>
      <c r="C10" s="6" t="s">
        <v>9</v>
      </c>
      <c r="D10" s="7">
        <f>IFERROR(VLOOKUP(C10, 'Lista de precios'!C:F, 4, FALSE), "")</f>
        <v>3.876033058</v>
      </c>
      <c r="E10" s="10"/>
      <c r="F10" s="8"/>
      <c r="G10" s="9">
        <f t="shared" si="1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5.75" customHeight="1">
      <c r="A11" s="1"/>
      <c r="B11" s="1"/>
      <c r="C11" s="6" t="s">
        <v>10</v>
      </c>
      <c r="D11" s="7">
        <f>IFERROR(VLOOKUP(C11, 'Lista de precios'!C:F, 4, FALSE), "")</f>
        <v>2.223140496</v>
      </c>
      <c r="E11" s="11"/>
      <c r="F11" s="12"/>
      <c r="G11" s="9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5.75" customHeight="1">
      <c r="A12" s="1"/>
      <c r="B12" s="1"/>
      <c r="C12" s="6" t="s">
        <v>11</v>
      </c>
      <c r="D12" s="7">
        <f>IFERROR(VLOOKUP(C12, 'Lista de precios'!C:F, 4, FALSE), "")</f>
        <v>9.082644628</v>
      </c>
      <c r="E12" s="11"/>
      <c r="F12" s="12"/>
      <c r="G12" s="9">
        <f t="shared" si="1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5.75" customHeight="1">
      <c r="A13" s="1"/>
      <c r="B13" s="1"/>
      <c r="C13" s="13"/>
      <c r="D13" s="7" t="str">
        <f>IFERROR(VLOOKUP(C13, 'Lista de precios'!C:F, 4, FALSE), "")</f>
        <v/>
      </c>
      <c r="E13" s="11"/>
      <c r="F13" s="12"/>
      <c r="G13" s="9">
        <f t="shared" si="1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1"/>
      <c r="B14" s="1"/>
      <c r="C14" s="6"/>
      <c r="D14" s="7" t="str">
        <f>IFERROR(VLOOKUP(C14, 'Lista de precios'!C:F, 4, FALSE), "")</f>
        <v/>
      </c>
      <c r="E14" s="11"/>
      <c r="F14" s="12"/>
      <c r="G14" s="9">
        <f t="shared" si="1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75" customHeight="1">
      <c r="A15" s="1"/>
      <c r="B15" s="1"/>
      <c r="C15" s="13"/>
      <c r="D15" s="7" t="str">
        <f>IFERROR(VLOOKUP(C15, 'Lista de precios'!C:F, 4, FALSE), "")</f>
        <v/>
      </c>
      <c r="E15" s="11"/>
      <c r="F15" s="12"/>
      <c r="G15" s="9">
        <f t="shared" si="1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75" customHeight="1">
      <c r="A16" s="1"/>
      <c r="B16" s="1"/>
      <c r="C16" s="13"/>
      <c r="D16" s="7" t="str">
        <f>IFERROR(VLOOKUP(C16, 'Lista de precios'!C:F, 4, FALSE), "")</f>
        <v/>
      </c>
      <c r="E16" s="11"/>
      <c r="F16" s="12"/>
      <c r="G16" s="9">
        <f t="shared" si="1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75" customHeight="1">
      <c r="A17" s="1"/>
      <c r="B17" s="1"/>
      <c r="C17" s="13"/>
      <c r="D17" s="7" t="str">
        <f>IFERROR(VLOOKUP(C17, 'Lista de precios'!C:F, 4, FALSE), "")</f>
        <v/>
      </c>
      <c r="E17" s="11"/>
      <c r="F17" s="12"/>
      <c r="G17" s="9">
        <f t="shared" si="1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1"/>
      <c r="B18" s="1"/>
      <c r="C18" s="13"/>
      <c r="D18" s="7" t="str">
        <f>IFERROR(VLOOKUP(C18, 'Lista de precios'!C:F, 4, FALSE), "")</f>
        <v/>
      </c>
      <c r="E18" s="11"/>
      <c r="F18" s="12"/>
      <c r="G18" s="9">
        <f t="shared" si="1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5.75" customHeight="1">
      <c r="A19" s="1"/>
      <c r="B19" s="1"/>
      <c r="C19" s="13"/>
      <c r="D19" s="7" t="str">
        <f>IFERROR(VLOOKUP(C19, 'Lista de precios'!C:F, 4, FALSE), "")</f>
        <v/>
      </c>
      <c r="E19" s="11"/>
      <c r="F19" s="12"/>
      <c r="G19" s="9">
        <f t="shared" si="1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5.75" customHeight="1">
      <c r="A20" s="1"/>
      <c r="B20" s="1"/>
      <c r="C20" s="13"/>
      <c r="D20" s="7" t="str">
        <f>IFERROR(VLOOKUP(C20, 'Lista de precios'!C:F, 4, FALSE), "")</f>
        <v/>
      </c>
      <c r="E20" s="11"/>
      <c r="F20" s="12"/>
      <c r="G20" s="9">
        <f t="shared" si="1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1"/>
      <c r="B21" s="1"/>
      <c r="C21" s="14"/>
      <c r="D21" s="15" t="str">
        <f>IFERROR(VLOOKUP(C21, 'Lista de precios'!C:F, 4, FALSE), "")</f>
        <v/>
      </c>
      <c r="E21" s="16"/>
      <c r="F21" s="12"/>
      <c r="G21" s="9">
        <f t="shared" si="1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2.5" customHeight="1">
      <c r="A22" s="1"/>
      <c r="B22" s="1"/>
      <c r="C22" s="1"/>
      <c r="D22" s="1"/>
      <c r="E22" s="1"/>
      <c r="F22" s="17" t="s">
        <v>12</v>
      </c>
      <c r="G22" s="18" t="s">
        <v>13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22.5" customHeight="1">
      <c r="A23" s="1"/>
      <c r="B23" s="1"/>
      <c r="C23" s="1"/>
      <c r="D23" s="1"/>
      <c r="E23" s="1"/>
      <c r="F23" s="19">
        <v>40.0</v>
      </c>
      <c r="G23" s="20">
        <f>SUM(D6:D21,G6:G21)</f>
        <v>41.59504132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G2"/>
  </mergeCells>
  <conditionalFormatting sqref="G23">
    <cfRule type="expression" dxfId="0" priority="1">
      <formula>G23&gt;F23</formula>
    </cfRule>
  </conditionalFormatting>
  <conditionalFormatting sqref="G23">
    <cfRule type="expression" dxfId="0" priority="2">
      <formula>G23&gt;F23</formula>
    </cfRule>
  </conditionalFormatting>
  <dataValidations>
    <dataValidation type="list" allowBlank="1" showErrorMessage="1" sqref="C6:C21">
      <formula1>"Arándanos,Berlinas,Bizcocho,Cookies,Crodots,Croissant,Empanada,Frambuesas,Galletas cuadradas,Mandarinas,Manzanas rojas,Manzanas verdes,Muffins,Naranjas,Pan,Plátanos,Tortillas,Trenza,Zumo Caribe,Zumo naranja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21.75"/>
  </cols>
  <sheetData>
    <row r="1" ht="15.75" customHeight="1">
      <c r="C1" s="21"/>
    </row>
    <row r="2" ht="15.75" customHeight="1">
      <c r="C2" s="21"/>
    </row>
    <row r="3" ht="15.75" customHeight="1">
      <c r="C3" s="21"/>
    </row>
    <row r="4" ht="15.75" customHeight="1">
      <c r="C4" s="21" t="s">
        <v>1</v>
      </c>
      <c r="D4" s="21" t="s">
        <v>2</v>
      </c>
      <c r="E4" s="21" t="s">
        <v>14</v>
      </c>
      <c r="F4" s="22" t="s">
        <v>13</v>
      </c>
    </row>
    <row r="5" ht="15.75" customHeight="1">
      <c r="C5" s="21" t="s">
        <v>15</v>
      </c>
      <c r="D5" s="23">
        <v>8.99</v>
      </c>
      <c r="E5" s="24">
        <v>0.21</v>
      </c>
      <c r="F5" s="23">
        <f t="shared" ref="F5:F25" si="1">D5 / (1 + E5)</f>
        <v>7.429752066</v>
      </c>
    </row>
    <row r="6" ht="15.75" customHeight="1">
      <c r="C6" s="21" t="s">
        <v>6</v>
      </c>
      <c r="D6" s="23">
        <v>8.99</v>
      </c>
      <c r="E6" s="24">
        <v>0.21</v>
      </c>
      <c r="F6" s="23">
        <f t="shared" si="1"/>
        <v>7.429752066</v>
      </c>
    </row>
    <row r="7" ht="15.75" customHeight="1">
      <c r="C7" s="21" t="s">
        <v>7</v>
      </c>
      <c r="D7" s="23">
        <v>7.99</v>
      </c>
      <c r="E7" s="24">
        <v>0.21</v>
      </c>
      <c r="F7" s="23">
        <f t="shared" si="1"/>
        <v>6.603305785</v>
      </c>
    </row>
    <row r="8" ht="15.75" customHeight="1">
      <c r="C8" s="21" t="s">
        <v>16</v>
      </c>
      <c r="D8" s="23">
        <v>3.99</v>
      </c>
      <c r="E8" s="24">
        <v>0.21</v>
      </c>
      <c r="F8" s="23">
        <f t="shared" si="1"/>
        <v>3.297520661</v>
      </c>
    </row>
    <row r="9" ht="15.75" customHeight="1">
      <c r="C9" s="21" t="s">
        <v>17</v>
      </c>
      <c r="D9" s="25">
        <v>1.99</v>
      </c>
      <c r="E9" s="24">
        <v>0.21</v>
      </c>
      <c r="F9" s="23">
        <f t="shared" si="1"/>
        <v>1.644628099</v>
      </c>
    </row>
    <row r="10" ht="15.75" customHeight="1">
      <c r="C10" s="21" t="s">
        <v>11</v>
      </c>
      <c r="D10" s="23">
        <v>10.99</v>
      </c>
      <c r="E10" s="24">
        <v>0.21</v>
      </c>
      <c r="F10" s="23">
        <f t="shared" si="1"/>
        <v>9.082644628</v>
      </c>
    </row>
    <row r="11" ht="15.75" customHeight="1">
      <c r="C11" s="21" t="s">
        <v>18</v>
      </c>
      <c r="D11" s="25">
        <v>11.49</v>
      </c>
      <c r="E11" s="24">
        <v>0.21</v>
      </c>
      <c r="F11" s="23">
        <f t="shared" si="1"/>
        <v>9.495867769</v>
      </c>
    </row>
    <row r="12" ht="15.75" customHeight="1">
      <c r="C12" s="21" t="s">
        <v>9</v>
      </c>
      <c r="D12" s="25">
        <v>4.69</v>
      </c>
      <c r="E12" s="24">
        <v>0.21</v>
      </c>
      <c r="F12" s="23">
        <f t="shared" si="1"/>
        <v>3.876033058</v>
      </c>
    </row>
    <row r="13" ht="15.75" customHeight="1">
      <c r="C13" s="21" t="s">
        <v>19</v>
      </c>
      <c r="D13" s="23">
        <v>5.49</v>
      </c>
      <c r="E13" s="24">
        <v>0.21</v>
      </c>
      <c r="F13" s="23">
        <f t="shared" si="1"/>
        <v>4.537190083</v>
      </c>
    </row>
    <row r="14" ht="15.75" customHeight="1">
      <c r="C14" s="21" t="s">
        <v>10</v>
      </c>
      <c r="D14" s="23">
        <v>2.69</v>
      </c>
      <c r="E14" s="24">
        <v>0.21</v>
      </c>
      <c r="F14" s="23">
        <f t="shared" si="1"/>
        <v>2.223140496</v>
      </c>
    </row>
    <row r="15" ht="15.75" customHeight="1">
      <c r="C15" s="21" t="s">
        <v>20</v>
      </c>
      <c r="D15" s="23">
        <v>1.89</v>
      </c>
      <c r="E15" s="24">
        <v>0.21</v>
      </c>
      <c r="F15" s="23">
        <f t="shared" si="1"/>
        <v>1.561983471</v>
      </c>
    </row>
    <row r="16" ht="15.75" customHeight="1">
      <c r="C16" s="21" t="s">
        <v>21</v>
      </c>
      <c r="D16" s="25">
        <v>4.69</v>
      </c>
      <c r="E16" s="24">
        <v>0.21</v>
      </c>
      <c r="F16" s="23">
        <f t="shared" si="1"/>
        <v>3.876033058</v>
      </c>
    </row>
    <row r="17" ht="15.75" customHeight="1">
      <c r="C17" s="21" t="s">
        <v>22</v>
      </c>
      <c r="D17" s="25">
        <v>5.89</v>
      </c>
      <c r="E17" s="24">
        <v>0.21</v>
      </c>
      <c r="F17" s="23">
        <f t="shared" si="1"/>
        <v>4.867768595</v>
      </c>
    </row>
    <row r="18" ht="15.75" customHeight="1">
      <c r="C18" s="21" t="s">
        <v>23</v>
      </c>
      <c r="D18" s="25">
        <v>6.49</v>
      </c>
      <c r="E18" s="24">
        <v>0.21</v>
      </c>
      <c r="F18" s="23">
        <f t="shared" si="1"/>
        <v>5.363636364</v>
      </c>
    </row>
    <row r="19" ht="15.75" customHeight="1">
      <c r="C19" s="21" t="s">
        <v>24</v>
      </c>
      <c r="D19" s="25">
        <v>6.99</v>
      </c>
      <c r="E19" s="24">
        <v>0.21</v>
      </c>
      <c r="F19" s="23">
        <f t="shared" si="1"/>
        <v>5.776859504</v>
      </c>
    </row>
    <row r="20" ht="15.75" customHeight="1">
      <c r="C20" s="26" t="s">
        <v>25</v>
      </c>
      <c r="D20" s="25">
        <v>9.99</v>
      </c>
      <c r="E20" s="24">
        <v>0.21</v>
      </c>
      <c r="F20" s="23">
        <f t="shared" si="1"/>
        <v>8.256198347</v>
      </c>
    </row>
    <row r="21" ht="15.75" customHeight="1">
      <c r="C21" s="26" t="s">
        <v>26</v>
      </c>
      <c r="D21" s="25">
        <v>9.99</v>
      </c>
      <c r="E21" s="24">
        <v>0.21</v>
      </c>
      <c r="F21" s="23">
        <f t="shared" si="1"/>
        <v>8.256198347</v>
      </c>
    </row>
    <row r="22" ht="15.75" customHeight="1">
      <c r="C22" s="26" t="s">
        <v>5</v>
      </c>
      <c r="D22" s="25">
        <v>5.99</v>
      </c>
      <c r="E22" s="24">
        <v>0.21</v>
      </c>
      <c r="F22" s="23">
        <f t="shared" si="1"/>
        <v>4.950413223</v>
      </c>
    </row>
    <row r="23" ht="15.75" customHeight="1">
      <c r="C23" s="26" t="s">
        <v>27</v>
      </c>
      <c r="D23" s="25">
        <v>6.29</v>
      </c>
      <c r="E23" s="24">
        <v>0.21</v>
      </c>
      <c r="F23" s="23">
        <f t="shared" si="1"/>
        <v>5.198347107</v>
      </c>
    </row>
    <row r="24" ht="15.75" customHeight="1">
      <c r="C24" s="26" t="s">
        <v>28</v>
      </c>
      <c r="D24" s="25">
        <v>9.99</v>
      </c>
      <c r="E24" s="24">
        <v>0.21</v>
      </c>
      <c r="F24" s="23">
        <f t="shared" si="1"/>
        <v>8.256198347</v>
      </c>
    </row>
    <row r="25" ht="15.75" customHeight="1">
      <c r="C25" s="26" t="s">
        <v>8</v>
      </c>
      <c r="D25" s="23">
        <v>8.99</v>
      </c>
      <c r="E25" s="24">
        <v>0.21</v>
      </c>
      <c r="F25" s="23">
        <f t="shared" si="1"/>
        <v>7.429752066</v>
      </c>
    </row>
    <row r="26" ht="15.75" customHeight="1">
      <c r="C26" s="26"/>
    </row>
    <row r="27" ht="15.75" customHeight="1">
      <c r="C27" s="21"/>
    </row>
    <row r="28" ht="15.75" customHeight="1">
      <c r="C28" s="21"/>
      <c r="E28" s="24"/>
    </row>
    <row r="29" ht="15.75" customHeight="1">
      <c r="C29" s="21"/>
    </row>
    <row r="30" ht="15.75" customHeight="1">
      <c r="C30" s="21"/>
    </row>
    <row r="31" ht="15.75" customHeight="1">
      <c r="C31" s="21"/>
    </row>
    <row r="32" ht="15.75" customHeight="1">
      <c r="C32" s="21"/>
    </row>
    <row r="33" ht="15.75" customHeight="1">
      <c r="C33" s="21"/>
    </row>
    <row r="34" ht="15.75" customHeight="1">
      <c r="C34" s="21"/>
    </row>
    <row r="35" ht="15.75" customHeight="1">
      <c r="C35" s="21"/>
    </row>
    <row r="36" ht="15.75" customHeight="1">
      <c r="C36" s="21"/>
    </row>
    <row r="37" ht="15.75" customHeight="1">
      <c r="C37" s="21"/>
    </row>
    <row r="38" ht="15.75" customHeight="1">
      <c r="C38" s="21"/>
    </row>
    <row r="39" ht="15.75" customHeight="1">
      <c r="C39" s="21"/>
    </row>
    <row r="40" ht="15.75" customHeight="1">
      <c r="C40" s="21"/>
    </row>
    <row r="41" ht="15.75" customHeight="1">
      <c r="C41" s="21"/>
    </row>
    <row r="42" ht="15.75" customHeight="1">
      <c r="C42" s="21"/>
    </row>
    <row r="43" ht="15.75" customHeight="1">
      <c r="C43" s="21"/>
    </row>
    <row r="44" ht="15.75" customHeight="1">
      <c r="C44" s="21"/>
    </row>
    <row r="45" ht="15.75" customHeight="1">
      <c r="C45" s="21"/>
    </row>
    <row r="46" ht="15.75" customHeight="1">
      <c r="C46" s="21"/>
    </row>
    <row r="47" ht="15.75" customHeight="1">
      <c r="C47" s="21"/>
    </row>
    <row r="48" ht="15.75" customHeight="1">
      <c r="C48" s="21"/>
    </row>
    <row r="49" ht="15.75" customHeight="1">
      <c r="C49" s="21"/>
    </row>
    <row r="50" ht="15.75" customHeight="1">
      <c r="C50" s="21"/>
    </row>
    <row r="51" ht="15.75" customHeight="1">
      <c r="C51" s="21"/>
    </row>
    <row r="52" ht="15.75" customHeight="1">
      <c r="C52" s="21"/>
    </row>
    <row r="53" ht="15.75" customHeight="1">
      <c r="C53" s="21"/>
    </row>
    <row r="54" ht="15.75" customHeight="1">
      <c r="C54" s="21"/>
    </row>
    <row r="55" ht="15.75" customHeight="1">
      <c r="C55" s="21"/>
    </row>
    <row r="56" ht="15.75" customHeight="1">
      <c r="C56" s="21"/>
    </row>
    <row r="57" ht="15.75" customHeight="1">
      <c r="C57" s="21"/>
    </row>
    <row r="58" ht="15.75" customHeight="1">
      <c r="C58" s="21"/>
    </row>
    <row r="59" ht="15.75" customHeight="1">
      <c r="C59" s="21"/>
    </row>
    <row r="60" ht="15.75" customHeight="1">
      <c r="C60" s="21"/>
    </row>
    <row r="61" ht="15.75" customHeight="1">
      <c r="C61" s="21"/>
    </row>
    <row r="62" ht="15.75" customHeight="1">
      <c r="C62" s="21"/>
    </row>
    <row r="63" ht="15.75" customHeight="1">
      <c r="C63" s="21"/>
    </row>
    <row r="64" ht="15.75" customHeight="1">
      <c r="C64" s="21"/>
    </row>
    <row r="65" ht="15.75" customHeight="1">
      <c r="C65" s="21"/>
    </row>
    <row r="66" ht="15.75" customHeight="1">
      <c r="C66" s="21"/>
    </row>
    <row r="67" ht="15.75" customHeight="1">
      <c r="C67" s="21"/>
    </row>
    <row r="68" ht="15.75" customHeight="1">
      <c r="C68" s="21"/>
    </row>
    <row r="69" ht="15.75" customHeight="1">
      <c r="C69" s="21"/>
    </row>
    <row r="70" ht="15.75" customHeight="1">
      <c r="C70" s="21"/>
    </row>
    <row r="71" ht="15.75" customHeight="1">
      <c r="C71" s="21"/>
    </row>
    <row r="72" ht="15.75" customHeight="1">
      <c r="C72" s="21"/>
    </row>
    <row r="73" ht="15.75" customHeight="1">
      <c r="C73" s="21"/>
    </row>
    <row r="74" ht="15.75" customHeight="1">
      <c r="C74" s="21"/>
    </row>
    <row r="75" ht="15.75" customHeight="1">
      <c r="C75" s="21"/>
    </row>
    <row r="76" ht="15.75" customHeight="1">
      <c r="C76" s="21"/>
    </row>
    <row r="77" ht="15.75" customHeight="1">
      <c r="C77" s="21"/>
    </row>
    <row r="78" ht="15.75" customHeight="1">
      <c r="C78" s="21"/>
    </row>
    <row r="79" ht="15.75" customHeight="1">
      <c r="C79" s="21"/>
    </row>
    <row r="80" ht="15.75" customHeight="1">
      <c r="C80" s="21"/>
    </row>
    <row r="81" ht="15.75" customHeight="1">
      <c r="C81" s="21"/>
    </row>
    <row r="82" ht="15.75" customHeight="1">
      <c r="C82" s="21"/>
    </row>
    <row r="83" ht="15.75" customHeight="1">
      <c r="C83" s="21"/>
    </row>
    <row r="84" ht="15.75" customHeight="1">
      <c r="C84" s="21"/>
    </row>
    <row r="85" ht="15.75" customHeight="1">
      <c r="C85" s="21"/>
    </row>
    <row r="86" ht="15.75" customHeight="1">
      <c r="C86" s="21"/>
    </row>
    <row r="87" ht="15.75" customHeight="1">
      <c r="C87" s="21"/>
    </row>
    <row r="88" ht="15.75" customHeight="1">
      <c r="C88" s="21"/>
    </row>
    <row r="89" ht="15.75" customHeight="1">
      <c r="C89" s="21"/>
    </row>
    <row r="90" ht="15.75" customHeight="1">
      <c r="C90" s="21"/>
    </row>
    <row r="91" ht="15.75" customHeight="1">
      <c r="C91" s="21"/>
    </row>
    <row r="92" ht="15.75" customHeight="1">
      <c r="C92" s="21"/>
    </row>
    <row r="93" ht="15.75" customHeight="1">
      <c r="C93" s="21"/>
    </row>
    <row r="94" ht="15.75" customHeight="1">
      <c r="C94" s="21"/>
    </row>
    <row r="95" ht="15.75" customHeight="1">
      <c r="C95" s="21"/>
    </row>
    <row r="96" ht="15.75" customHeight="1">
      <c r="C96" s="21"/>
    </row>
    <row r="97" ht="15.75" customHeight="1">
      <c r="C97" s="21"/>
    </row>
    <row r="98" ht="15.75" customHeight="1">
      <c r="C98" s="21"/>
    </row>
    <row r="99" ht="15.75" customHeight="1">
      <c r="C99" s="21"/>
    </row>
    <row r="100" ht="15.75" customHeight="1">
      <c r="C100" s="21"/>
    </row>
    <row r="101" ht="15.75" customHeight="1">
      <c r="C101" s="21"/>
    </row>
    <row r="102" ht="15.75" customHeight="1">
      <c r="C102" s="21"/>
    </row>
    <row r="103" ht="15.75" customHeight="1">
      <c r="C103" s="21"/>
    </row>
    <row r="104" ht="15.75" customHeight="1">
      <c r="C104" s="21"/>
    </row>
    <row r="105" ht="15.75" customHeight="1">
      <c r="C105" s="21"/>
    </row>
    <row r="106" ht="15.75" customHeight="1">
      <c r="C106" s="21"/>
    </row>
    <row r="107" ht="15.75" customHeight="1">
      <c r="C107" s="21"/>
    </row>
    <row r="108" ht="15.75" customHeight="1">
      <c r="C108" s="21"/>
    </row>
    <row r="109" ht="15.75" customHeight="1">
      <c r="C109" s="21"/>
    </row>
    <row r="110" ht="15.75" customHeight="1">
      <c r="C110" s="21"/>
    </row>
    <row r="111" ht="15.75" customHeight="1">
      <c r="C111" s="21"/>
    </row>
    <row r="112" ht="15.75" customHeight="1">
      <c r="C112" s="21"/>
    </row>
    <row r="113" ht="15.75" customHeight="1">
      <c r="C113" s="21"/>
    </row>
    <row r="114" ht="15.75" customHeight="1">
      <c r="C114" s="21"/>
    </row>
    <row r="115" ht="15.75" customHeight="1">
      <c r="C115" s="21"/>
    </row>
    <row r="116" ht="15.75" customHeight="1">
      <c r="C116" s="21"/>
    </row>
    <row r="117" ht="15.75" customHeight="1">
      <c r="C117" s="21"/>
    </row>
    <row r="118" ht="15.75" customHeight="1">
      <c r="C118" s="21"/>
    </row>
    <row r="119" ht="15.75" customHeight="1">
      <c r="C119" s="21"/>
    </row>
    <row r="120" ht="15.75" customHeight="1">
      <c r="C120" s="21"/>
    </row>
    <row r="121" ht="15.75" customHeight="1">
      <c r="C121" s="21"/>
    </row>
    <row r="122" ht="15.75" customHeight="1">
      <c r="C122" s="21"/>
    </row>
    <row r="123" ht="15.75" customHeight="1">
      <c r="C123" s="21"/>
    </row>
    <row r="124" ht="15.75" customHeight="1">
      <c r="C124" s="21"/>
    </row>
    <row r="125" ht="15.75" customHeight="1">
      <c r="C125" s="21"/>
    </row>
    <row r="126" ht="15.75" customHeight="1">
      <c r="C126" s="21"/>
    </row>
    <row r="127" ht="15.75" customHeight="1">
      <c r="C127" s="21"/>
    </row>
    <row r="128" ht="15.75" customHeight="1"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C5:C23">
      <formula1>"Arándanos,Banana,Berlinas,Bizcocho,Crodots,Croissant,Empanada,Frambuesas,Galletas cuadradas,Mandarinas,Manzanas rojas,Manzanas verdes,Muffins,Naranjas,Pan,Plátanos,Tortillas,Trenza,Zumo Caribe,Zumo naranja "</formula1>
    </dataValidation>
    <dataValidation type="list" allowBlank="1" showErrorMessage="1" sqref="C24:C25">
      <formula1>"Arándanos,Banana,Berlinas,Bizcocho,Crodots,Croissant,Empanada,Frambuesas,Galletas cuadradas,Mandarinas,Manzanas rojas,Manzanas verdes,Muffins,Naranjas,Pan,Plátanos,Tortillas,Trenza,Zumo Caribe,Zumo naranja ,Cookies"</formula1>
    </dataValidation>
  </dataValidations>
  <drawing r:id="rId1"/>
</worksheet>
</file>